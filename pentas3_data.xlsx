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9B9302A-867F-4825-8569-E9C494E42AE1}" xr6:coauthVersionLast="47" xr6:coauthVersionMax="47" xr10:uidLastSave="{00000000-0000-0000-0000-000000000000}"/>
  <bookViews>
    <workbookView xWindow="1440" yWindow="1140" windowWidth="21600" windowHeight="11100" xr2:uid="{00000000-000D-0000-FFFF-FFFF00000000}"/>
  </bookViews>
  <sheets>
    <sheet name="SCENARIO 1" sheetId="6" r:id="rId1"/>
    <sheet name="SCENARIO 2" sheetId="7" r:id="rId2"/>
    <sheet name="SCENARIO 3" sheetId="8" r:id="rId3"/>
    <sheet name="IDEAL SCENARIO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9" l="1"/>
  <c r="C14" i="9"/>
  <c r="B14" i="9"/>
  <c r="F13" i="9"/>
  <c r="G13" i="9" s="1"/>
  <c r="D13" i="9"/>
  <c r="E13" i="9" s="1"/>
  <c r="F12" i="9"/>
  <c r="G12" i="9" s="1"/>
  <c r="D12" i="9"/>
  <c r="E12" i="9" s="1"/>
  <c r="F11" i="9"/>
  <c r="G11" i="9" s="1"/>
  <c r="D11" i="9"/>
  <c r="E11" i="9" s="1"/>
  <c r="F10" i="9"/>
  <c r="G10" i="9" s="1"/>
  <c r="D10" i="9"/>
  <c r="E10" i="9" s="1"/>
  <c r="F9" i="9"/>
  <c r="G9" i="9" s="1"/>
  <c r="D9" i="9"/>
  <c r="E9" i="9" s="1"/>
  <c r="F8" i="9"/>
  <c r="G8" i="9" s="1"/>
  <c r="D8" i="9"/>
  <c r="E8" i="9" s="1"/>
  <c r="F7" i="9"/>
  <c r="G7" i="9" s="1"/>
  <c r="D7" i="9"/>
  <c r="E7" i="9" s="1"/>
  <c r="F6" i="9"/>
  <c r="G6" i="9" s="1"/>
  <c r="D6" i="9"/>
  <c r="E6" i="9" s="1"/>
  <c r="F5" i="9"/>
  <c r="G5" i="9" s="1"/>
  <c r="D5" i="9"/>
  <c r="E5" i="9" s="1"/>
  <c r="F4" i="9"/>
  <c r="G4" i="9" s="1"/>
  <c r="D4" i="9"/>
  <c r="E4" i="9" s="1"/>
  <c r="F3" i="9"/>
  <c r="G3" i="9" s="1"/>
  <c r="D3" i="9"/>
  <c r="E3" i="9" s="1"/>
  <c r="F2" i="9"/>
  <c r="G2" i="9" s="1"/>
  <c r="D2" i="9"/>
  <c r="E2" i="9" s="1"/>
  <c r="E14" i="9" s="1"/>
  <c r="D14" i="8"/>
  <c r="C14" i="8"/>
  <c r="B14" i="8"/>
  <c r="F13" i="8"/>
  <c r="G13" i="8" s="1"/>
  <c r="D13" i="8"/>
  <c r="E13" i="8" s="1"/>
  <c r="F12" i="8"/>
  <c r="G12" i="8" s="1"/>
  <c r="D12" i="8"/>
  <c r="E12" i="8" s="1"/>
  <c r="F11" i="8"/>
  <c r="G11" i="8" s="1"/>
  <c r="D11" i="8"/>
  <c r="E11" i="8" s="1"/>
  <c r="F10" i="8"/>
  <c r="G10" i="8" s="1"/>
  <c r="D10" i="8"/>
  <c r="E10" i="8" s="1"/>
  <c r="F9" i="8"/>
  <c r="G9" i="8" s="1"/>
  <c r="D9" i="8"/>
  <c r="E9" i="8" s="1"/>
  <c r="F8" i="8"/>
  <c r="G8" i="8" s="1"/>
  <c r="D8" i="8"/>
  <c r="E8" i="8" s="1"/>
  <c r="F7" i="8"/>
  <c r="G7" i="8" s="1"/>
  <c r="D7" i="8"/>
  <c r="E7" i="8" s="1"/>
  <c r="F6" i="8"/>
  <c r="G6" i="8" s="1"/>
  <c r="D6" i="8"/>
  <c r="E6" i="8" s="1"/>
  <c r="F5" i="8"/>
  <c r="G5" i="8" s="1"/>
  <c r="D5" i="8"/>
  <c r="E5" i="8" s="1"/>
  <c r="F4" i="8"/>
  <c r="G4" i="8" s="1"/>
  <c r="D4" i="8"/>
  <c r="E4" i="8" s="1"/>
  <c r="F3" i="8"/>
  <c r="G3" i="8" s="1"/>
  <c r="D3" i="8"/>
  <c r="E3" i="8" s="1"/>
  <c r="F2" i="8"/>
  <c r="F14" i="8" s="1"/>
  <c r="D2" i="8"/>
  <c r="E2" i="8" s="1"/>
  <c r="E14" i="8" s="1"/>
  <c r="C14" i="7"/>
  <c r="B14" i="7"/>
  <c r="D13" i="7"/>
  <c r="E13" i="7" s="1"/>
  <c r="D12" i="7"/>
  <c r="E12" i="7" s="1"/>
  <c r="D11" i="7"/>
  <c r="E11" i="7" s="1"/>
  <c r="D10" i="7"/>
  <c r="E10" i="7" s="1"/>
  <c r="D9" i="7"/>
  <c r="E9" i="7" s="1"/>
  <c r="D8" i="7"/>
  <c r="E8" i="7" s="1"/>
  <c r="D7" i="7"/>
  <c r="E7" i="7" s="1"/>
  <c r="D6" i="7"/>
  <c r="E6" i="7" s="1"/>
  <c r="D5" i="7"/>
  <c r="E5" i="7" s="1"/>
  <c r="D4" i="7"/>
  <c r="E4" i="7" s="1"/>
  <c r="D3" i="7"/>
  <c r="E3" i="7" s="1"/>
  <c r="D2" i="7"/>
  <c r="E2" i="7" s="1"/>
  <c r="C14" i="6"/>
  <c r="B14" i="6"/>
  <c r="D13" i="6"/>
  <c r="F13" i="6" s="1"/>
  <c r="G13" i="6" s="1"/>
  <c r="D12" i="6"/>
  <c r="E12" i="6" s="1"/>
  <c r="D11" i="6"/>
  <c r="E11" i="6" s="1"/>
  <c r="D10" i="6"/>
  <c r="E10" i="6" s="1"/>
  <c r="D9" i="6"/>
  <c r="F9" i="6" s="1"/>
  <c r="G9" i="6" s="1"/>
  <c r="D8" i="6"/>
  <c r="E8" i="6" s="1"/>
  <c r="D7" i="6"/>
  <c r="E7" i="6" s="1"/>
  <c r="D6" i="6"/>
  <c r="F6" i="6" s="1"/>
  <c r="G6" i="6" s="1"/>
  <c r="D5" i="6"/>
  <c r="E5" i="6" s="1"/>
  <c r="D4" i="6"/>
  <c r="F4" i="6" s="1"/>
  <c r="G4" i="6" s="1"/>
  <c r="D3" i="6"/>
  <c r="E3" i="6" s="1"/>
  <c r="D2" i="6"/>
  <c r="D14" i="6" s="1"/>
  <c r="G14" i="9" l="1"/>
  <c r="F14" i="9"/>
  <c r="G2" i="8"/>
  <c r="G14" i="8" s="1"/>
  <c r="E14" i="7"/>
  <c r="F2" i="7"/>
  <c r="F3" i="7"/>
  <c r="G3" i="7" s="1"/>
  <c r="F4" i="7"/>
  <c r="G4" i="7" s="1"/>
  <c r="F5" i="7"/>
  <c r="G5" i="7" s="1"/>
  <c r="F6" i="7"/>
  <c r="G6" i="7" s="1"/>
  <c r="F7" i="7"/>
  <c r="G7" i="7" s="1"/>
  <c r="F8" i="7"/>
  <c r="G8" i="7" s="1"/>
  <c r="F9" i="7"/>
  <c r="G9" i="7" s="1"/>
  <c r="F10" i="7"/>
  <c r="G10" i="7" s="1"/>
  <c r="F11" i="7"/>
  <c r="G11" i="7" s="1"/>
  <c r="F12" i="7"/>
  <c r="G12" i="7" s="1"/>
  <c r="F13" i="7"/>
  <c r="G13" i="7" s="1"/>
  <c r="D14" i="7"/>
  <c r="E2" i="6"/>
  <c r="E4" i="6"/>
  <c r="E6" i="6"/>
  <c r="E9" i="6"/>
  <c r="E13" i="6"/>
  <c r="F2" i="6"/>
  <c r="F3" i="6"/>
  <c r="G3" i="6" s="1"/>
  <c r="F5" i="6"/>
  <c r="G5" i="6" s="1"/>
  <c r="F7" i="6"/>
  <c r="G7" i="6" s="1"/>
  <c r="F8" i="6"/>
  <c r="G8" i="6" s="1"/>
  <c r="F10" i="6"/>
  <c r="G10" i="6" s="1"/>
  <c r="F11" i="6"/>
  <c r="G11" i="6" s="1"/>
  <c r="F12" i="6"/>
  <c r="G12" i="6" s="1"/>
  <c r="F14" i="7" l="1"/>
  <c r="G2" i="7"/>
  <c r="G14" i="7" s="1"/>
  <c r="F14" i="6"/>
  <c r="G2" i="6"/>
  <c r="G14" i="6" s="1"/>
  <c r="E14" i="6"/>
</calcChain>
</file>

<file path=xl/sharedStrings.xml><?xml version="1.0" encoding="utf-8"?>
<sst xmlns="http://schemas.openxmlformats.org/spreadsheetml/2006/main" count="80" uniqueCount="20">
  <si>
    <t>Total</t>
  </si>
  <si>
    <t>Paying Users</t>
  </si>
  <si>
    <t>Month &amp; Event Trend</t>
  </si>
  <si>
    <t xml:space="preserve">Total Users </t>
  </si>
  <si>
    <t>Direct Cost (40%)</t>
  </si>
  <si>
    <t>Gross Profit (60%)</t>
  </si>
  <si>
    <t>Month 1 (Launch Peak)</t>
  </si>
  <si>
    <t>Month 2 (Heavy Momentum)</t>
  </si>
  <si>
    <t>Month 3 (Holiday Peak)</t>
  </si>
  <si>
    <t>Month 4 (Post-Peak Drop)</t>
  </si>
  <si>
    <t>Month 5 (Normal Month)</t>
  </si>
  <si>
    <t>Month 6 (Mid-Year Surge)</t>
  </si>
  <si>
    <t>Month 7 (Quiet Baseline)</t>
  </si>
  <si>
    <t>Month 8 (National Day Surge)</t>
  </si>
  <si>
    <t>Month 9 (Mid-Term Break)</t>
  </si>
  <si>
    <t>Month 10 (Pre-Festive Drop)</t>
  </si>
  <si>
    <t>Month 11 (Festive Holiday Surge)</t>
  </si>
  <si>
    <t>Month 12 (Year-End Peak)</t>
  </si>
  <si>
    <t xml:space="preserve">Total Revenue (RM) </t>
  </si>
  <si>
    <t>Monthly 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</si>
</sst>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B0869-3643-43F9-9AE1-1F16B1385139}">
  <dimension ref="A1:G14"/>
  <sheetViews>
    <sheetView tabSelected="1" workbookViewId="0">
      <selection activeCell="E13" sqref="E13"/>
    </sheetView>
  </sheetViews>
  <sheetFormatPr defaultRowHeight="13.2" x14ac:dyDescent="0.25"/>
  <cols>
    <col min="1" max="1" width="30.6640625" style="6" customWidth="1"/>
    <col min="2" max="2" width="17.6640625" customWidth="1"/>
    <col min="3" max="3" width="19.21875" customWidth="1"/>
    <col min="4" max="4" width="16.21875" customWidth="1"/>
    <col min="5" max="5" width="15.33203125" customWidth="1"/>
    <col min="6" max="6" width="14.44140625" customWidth="1"/>
    <col min="7" max="7" width="15.77734375" customWidth="1"/>
  </cols>
  <sheetData>
    <row r="1" spans="1:7" x14ac:dyDescent="0.25">
      <c r="A1" s="4" t="s">
        <v>2</v>
      </c>
      <c r="B1" s="2" t="s">
        <v>3</v>
      </c>
      <c r="C1" s="2" t="s">
        <v>1</v>
      </c>
      <c r="D1" s="2" t="s">
        <v>18</v>
      </c>
      <c r="E1" s="2" t="s">
        <v>4</v>
      </c>
      <c r="F1" s="2" t="s">
        <v>5</v>
      </c>
      <c r="G1" s="2" t="s">
        <v>19</v>
      </c>
    </row>
    <row r="2" spans="1:7" x14ac:dyDescent="0.25">
      <c r="A2" s="5" t="s">
        <v>6</v>
      </c>
      <c r="B2" s="3">
        <v>50000</v>
      </c>
      <c r="C2" s="3">
        <v>5000</v>
      </c>
      <c r="D2" s="3">
        <f>C2*17*0.3</f>
        <v>25500</v>
      </c>
      <c r="E2" s="3">
        <f>D2*0.4</f>
        <v>10200</v>
      </c>
      <c r="F2" s="3">
        <f>D2*0.6</f>
        <v>15300</v>
      </c>
      <c r="G2" s="3">
        <f>F2 - (55000/12)</f>
        <v>10716.666666666668</v>
      </c>
    </row>
    <row r="3" spans="1:7" x14ac:dyDescent="0.25">
      <c r="A3" s="5" t="s">
        <v>7</v>
      </c>
      <c r="B3" s="3">
        <v>100000</v>
      </c>
      <c r="C3" s="3">
        <v>10000</v>
      </c>
      <c r="D3" s="3">
        <f t="shared" ref="D3:D13" si="0">C3*17*0.3</f>
        <v>51000</v>
      </c>
      <c r="E3" s="3">
        <f t="shared" ref="E3:E13" si="1">D3*0.4</f>
        <v>20400</v>
      </c>
      <c r="F3" s="3">
        <f t="shared" ref="F3:F13" si="2">D3*0.6</f>
        <v>30600</v>
      </c>
      <c r="G3" s="3">
        <f>F3 - (55000/12)</f>
        <v>26016.666666666668</v>
      </c>
    </row>
    <row r="4" spans="1:7" x14ac:dyDescent="0.25">
      <c r="A4" s="5" t="s">
        <v>8</v>
      </c>
      <c r="B4" s="3">
        <v>75000</v>
      </c>
      <c r="C4" s="3">
        <v>7500</v>
      </c>
      <c r="D4" s="3">
        <f t="shared" si="0"/>
        <v>38250</v>
      </c>
      <c r="E4" s="3">
        <f t="shared" si="1"/>
        <v>15300</v>
      </c>
      <c r="F4" s="3">
        <f t="shared" si="2"/>
        <v>22950</v>
      </c>
      <c r="G4" s="3">
        <f t="shared" ref="G4:G13" si="3">F4 - (55000/12)</f>
        <v>18366.666666666668</v>
      </c>
    </row>
    <row r="5" spans="1:7" x14ac:dyDescent="0.25">
      <c r="A5" s="5" t="s">
        <v>9</v>
      </c>
      <c r="B5" s="3">
        <v>20000</v>
      </c>
      <c r="C5" s="3">
        <v>2000</v>
      </c>
      <c r="D5" s="3">
        <f t="shared" si="0"/>
        <v>10200</v>
      </c>
      <c r="E5" s="3">
        <f t="shared" si="1"/>
        <v>4080</v>
      </c>
      <c r="F5" s="3">
        <f t="shared" si="2"/>
        <v>6120</v>
      </c>
      <c r="G5" s="3">
        <f t="shared" si="3"/>
        <v>1536.666666666667</v>
      </c>
    </row>
    <row r="6" spans="1:7" x14ac:dyDescent="0.25">
      <c r="A6" s="5" t="s">
        <v>10</v>
      </c>
      <c r="B6" s="3">
        <v>10000</v>
      </c>
      <c r="C6" s="3">
        <v>1000</v>
      </c>
      <c r="D6" s="3">
        <f t="shared" si="0"/>
        <v>5100</v>
      </c>
      <c r="E6" s="3">
        <f t="shared" si="1"/>
        <v>2040</v>
      </c>
      <c r="F6" s="3">
        <f t="shared" si="2"/>
        <v>3060</v>
      </c>
      <c r="G6" s="3">
        <f t="shared" si="3"/>
        <v>-1523.333333333333</v>
      </c>
    </row>
    <row r="7" spans="1:7" x14ac:dyDescent="0.25">
      <c r="A7" s="5" t="s">
        <v>11</v>
      </c>
      <c r="B7" s="3">
        <v>5000</v>
      </c>
      <c r="C7" s="3">
        <v>500</v>
      </c>
      <c r="D7" s="3">
        <f t="shared" si="0"/>
        <v>2550</v>
      </c>
      <c r="E7" s="3">
        <f t="shared" si="1"/>
        <v>1020</v>
      </c>
      <c r="F7" s="3">
        <f t="shared" si="2"/>
        <v>1530</v>
      </c>
      <c r="G7" s="3">
        <f t="shared" si="3"/>
        <v>-3053.333333333333</v>
      </c>
    </row>
    <row r="8" spans="1:7" x14ac:dyDescent="0.25">
      <c r="A8" s="5" t="s">
        <v>12</v>
      </c>
      <c r="B8" s="3">
        <v>1500</v>
      </c>
      <c r="C8" s="3">
        <v>150</v>
      </c>
      <c r="D8" s="3">
        <f t="shared" si="0"/>
        <v>765</v>
      </c>
      <c r="E8" s="3">
        <f t="shared" si="1"/>
        <v>306</v>
      </c>
      <c r="F8" s="3">
        <f t="shared" si="2"/>
        <v>459</v>
      </c>
      <c r="G8" s="3">
        <f t="shared" si="3"/>
        <v>-4124.333333333333</v>
      </c>
    </row>
    <row r="9" spans="1:7" x14ac:dyDescent="0.25">
      <c r="A9" s="5" t="s">
        <v>13</v>
      </c>
      <c r="B9" s="3">
        <v>8000</v>
      </c>
      <c r="C9" s="3">
        <v>800</v>
      </c>
      <c r="D9" s="3">
        <f t="shared" si="0"/>
        <v>4080</v>
      </c>
      <c r="E9" s="3">
        <f t="shared" si="1"/>
        <v>1632</v>
      </c>
      <c r="F9" s="3">
        <f t="shared" si="2"/>
        <v>2448</v>
      </c>
      <c r="G9" s="3">
        <f t="shared" si="3"/>
        <v>-2135.333333333333</v>
      </c>
    </row>
    <row r="10" spans="1:7" x14ac:dyDescent="0.25">
      <c r="A10" s="5" t="s">
        <v>14</v>
      </c>
      <c r="B10" s="3">
        <v>6500</v>
      </c>
      <c r="C10" s="3">
        <v>650</v>
      </c>
      <c r="D10" s="3">
        <f t="shared" si="0"/>
        <v>3315</v>
      </c>
      <c r="E10" s="3">
        <f t="shared" si="1"/>
        <v>1326</v>
      </c>
      <c r="F10" s="3">
        <f t="shared" si="2"/>
        <v>1989</v>
      </c>
      <c r="G10" s="3">
        <f t="shared" si="3"/>
        <v>-2594.333333333333</v>
      </c>
    </row>
    <row r="11" spans="1:7" x14ac:dyDescent="0.25">
      <c r="A11" s="5" t="s">
        <v>15</v>
      </c>
      <c r="B11" s="3">
        <v>1500</v>
      </c>
      <c r="C11" s="3">
        <v>150</v>
      </c>
      <c r="D11" s="3">
        <f t="shared" si="0"/>
        <v>765</v>
      </c>
      <c r="E11" s="3">
        <f t="shared" si="1"/>
        <v>306</v>
      </c>
      <c r="F11" s="3">
        <f t="shared" si="2"/>
        <v>459</v>
      </c>
      <c r="G11" s="3">
        <f t="shared" si="3"/>
        <v>-4124.333333333333</v>
      </c>
    </row>
    <row r="12" spans="1:7" x14ac:dyDescent="0.25">
      <c r="A12" s="5" t="s">
        <v>16</v>
      </c>
      <c r="B12" s="3">
        <v>12000</v>
      </c>
      <c r="C12" s="3">
        <v>1200</v>
      </c>
      <c r="D12" s="3">
        <f t="shared" si="0"/>
        <v>6120</v>
      </c>
      <c r="E12" s="3">
        <f t="shared" si="1"/>
        <v>2448</v>
      </c>
      <c r="F12" s="3">
        <f t="shared" si="2"/>
        <v>3672</v>
      </c>
      <c r="G12" s="3">
        <f t="shared" si="3"/>
        <v>-911.33333333333303</v>
      </c>
    </row>
    <row r="13" spans="1:7" x14ac:dyDescent="0.25">
      <c r="A13" s="5" t="s">
        <v>17</v>
      </c>
      <c r="B13" s="3">
        <v>25000</v>
      </c>
      <c r="C13" s="3">
        <v>2500</v>
      </c>
      <c r="D13" s="3">
        <f t="shared" si="0"/>
        <v>12750</v>
      </c>
      <c r="E13" s="3">
        <f t="shared" si="1"/>
        <v>5100</v>
      </c>
      <c r="F13" s="3">
        <f t="shared" si="2"/>
        <v>7650</v>
      </c>
      <c r="G13" s="3">
        <f t="shared" si="3"/>
        <v>3066.666666666667</v>
      </c>
    </row>
    <row r="14" spans="1:7" x14ac:dyDescent="0.25">
      <c r="A14" s="5" t="s">
        <v>0</v>
      </c>
      <c r="B14" s="3">
        <f t="shared" ref="B14:G14" si="4">SUM(B2:B13)</f>
        <v>314500</v>
      </c>
      <c r="C14" s="3">
        <f t="shared" si="4"/>
        <v>31450</v>
      </c>
      <c r="D14" s="3">
        <f t="shared" si="4"/>
        <v>160395</v>
      </c>
      <c r="E14" s="3">
        <f t="shared" si="4"/>
        <v>64158</v>
      </c>
      <c r="F14" s="3">
        <f t="shared" si="4"/>
        <v>96237</v>
      </c>
      <c r="G14" s="3">
        <f t="shared" si="4"/>
        <v>41236.999999999978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AE27-4870-45B5-9992-781417C814B9}">
  <dimension ref="A1:G14"/>
  <sheetViews>
    <sheetView workbookViewId="0">
      <selection activeCell="I11" sqref="I11"/>
    </sheetView>
  </sheetViews>
  <sheetFormatPr defaultRowHeight="13.2" x14ac:dyDescent="0.25"/>
  <cols>
    <col min="1" max="1" width="29.77734375" customWidth="1"/>
    <col min="2" max="2" width="19.88671875" style="7" customWidth="1"/>
    <col min="3" max="3" width="19.109375" style="7" customWidth="1"/>
    <col min="4" max="4" width="17.21875" style="7" customWidth="1"/>
    <col min="5" max="5" width="16.77734375" style="7" customWidth="1"/>
    <col min="6" max="6" width="19" style="7" customWidth="1"/>
    <col min="7" max="7" width="18" style="7" customWidth="1"/>
  </cols>
  <sheetData>
    <row r="1" spans="1:7" x14ac:dyDescent="0.25">
      <c r="A1" s="2" t="s">
        <v>2</v>
      </c>
      <c r="B1" s="2" t="s">
        <v>3</v>
      </c>
      <c r="C1" s="2" t="s">
        <v>1</v>
      </c>
      <c r="D1" s="2" t="s">
        <v>18</v>
      </c>
      <c r="E1" s="2" t="s">
        <v>4</v>
      </c>
      <c r="F1" s="2" t="s">
        <v>5</v>
      </c>
      <c r="G1" s="2" t="s">
        <v>19</v>
      </c>
    </row>
    <row r="2" spans="1:7" x14ac:dyDescent="0.25">
      <c r="A2" s="1" t="s">
        <v>6</v>
      </c>
      <c r="B2" s="3">
        <v>50000</v>
      </c>
      <c r="C2" s="3">
        <v>5000</v>
      </c>
      <c r="D2" s="3">
        <f>C2*17*0.5</f>
        <v>42500</v>
      </c>
      <c r="E2" s="3">
        <f>D2*0.4</f>
        <v>17000</v>
      </c>
      <c r="F2" s="3">
        <f>D2*0.6</f>
        <v>25500</v>
      </c>
      <c r="G2" s="3">
        <f>F2 - (120000/12)</f>
        <v>15500</v>
      </c>
    </row>
    <row r="3" spans="1:7" x14ac:dyDescent="0.25">
      <c r="A3" s="1" t="s">
        <v>7</v>
      </c>
      <c r="B3" s="3">
        <v>100000</v>
      </c>
      <c r="C3" s="3">
        <v>10000</v>
      </c>
      <c r="D3" s="3">
        <f t="shared" ref="D3:D13" si="0">C3*17*0.5</f>
        <v>85000</v>
      </c>
      <c r="E3" s="3">
        <f>D3*0.4</f>
        <v>34000</v>
      </c>
      <c r="F3" s="3">
        <f t="shared" ref="F3:F13" si="1">D3*0.6</f>
        <v>51000</v>
      </c>
      <c r="G3" s="3">
        <f t="shared" ref="G3:G13" si="2">F3 - (120000/12)</f>
        <v>41000</v>
      </c>
    </row>
    <row r="4" spans="1:7" x14ac:dyDescent="0.25">
      <c r="A4" s="1" t="s">
        <v>8</v>
      </c>
      <c r="B4" s="3">
        <v>75000</v>
      </c>
      <c r="C4" s="3">
        <v>7500</v>
      </c>
      <c r="D4" s="3">
        <f t="shared" si="0"/>
        <v>63750</v>
      </c>
      <c r="E4" s="3">
        <f t="shared" ref="E4:E13" si="3">D4*0.4</f>
        <v>25500</v>
      </c>
      <c r="F4" s="3">
        <f t="shared" si="1"/>
        <v>38250</v>
      </c>
      <c r="G4" s="3">
        <f t="shared" si="2"/>
        <v>28250</v>
      </c>
    </row>
    <row r="5" spans="1:7" x14ac:dyDescent="0.25">
      <c r="A5" s="1" t="s">
        <v>9</v>
      </c>
      <c r="B5" s="3">
        <v>20000</v>
      </c>
      <c r="C5" s="3">
        <v>2000</v>
      </c>
      <c r="D5" s="3">
        <f t="shared" si="0"/>
        <v>17000</v>
      </c>
      <c r="E5" s="3">
        <f t="shared" si="3"/>
        <v>6800</v>
      </c>
      <c r="F5" s="3">
        <f t="shared" si="1"/>
        <v>10200</v>
      </c>
      <c r="G5" s="3">
        <f t="shared" si="2"/>
        <v>200</v>
      </c>
    </row>
    <row r="6" spans="1:7" x14ac:dyDescent="0.25">
      <c r="A6" s="1" t="s">
        <v>10</v>
      </c>
      <c r="B6" s="3">
        <v>10000</v>
      </c>
      <c r="C6" s="3">
        <v>1000</v>
      </c>
      <c r="D6" s="3">
        <f t="shared" si="0"/>
        <v>8500</v>
      </c>
      <c r="E6" s="3">
        <f t="shared" si="3"/>
        <v>3400</v>
      </c>
      <c r="F6" s="3">
        <f t="shared" si="1"/>
        <v>5100</v>
      </c>
      <c r="G6" s="3">
        <f t="shared" si="2"/>
        <v>-4900</v>
      </c>
    </row>
    <row r="7" spans="1:7" x14ac:dyDescent="0.25">
      <c r="A7" s="1" t="s">
        <v>11</v>
      </c>
      <c r="B7" s="3">
        <v>5000</v>
      </c>
      <c r="C7" s="3">
        <v>500</v>
      </c>
      <c r="D7" s="3">
        <f t="shared" si="0"/>
        <v>4250</v>
      </c>
      <c r="E7" s="3">
        <f t="shared" si="3"/>
        <v>1700</v>
      </c>
      <c r="F7" s="3">
        <f t="shared" si="1"/>
        <v>2550</v>
      </c>
      <c r="G7" s="3">
        <f t="shared" si="2"/>
        <v>-7450</v>
      </c>
    </row>
    <row r="8" spans="1:7" x14ac:dyDescent="0.25">
      <c r="A8" s="1" t="s">
        <v>12</v>
      </c>
      <c r="B8" s="3">
        <v>1500</v>
      </c>
      <c r="C8" s="3">
        <v>150</v>
      </c>
      <c r="D8" s="3">
        <f t="shared" si="0"/>
        <v>1275</v>
      </c>
      <c r="E8" s="3">
        <f t="shared" si="3"/>
        <v>510</v>
      </c>
      <c r="F8" s="3">
        <f t="shared" si="1"/>
        <v>765</v>
      </c>
      <c r="G8" s="3">
        <f t="shared" si="2"/>
        <v>-9235</v>
      </c>
    </row>
    <row r="9" spans="1:7" x14ac:dyDescent="0.25">
      <c r="A9" s="1" t="s">
        <v>13</v>
      </c>
      <c r="B9" s="3">
        <v>8000</v>
      </c>
      <c r="C9" s="3">
        <v>800</v>
      </c>
      <c r="D9" s="3">
        <f t="shared" si="0"/>
        <v>6800</v>
      </c>
      <c r="E9" s="3">
        <f t="shared" si="3"/>
        <v>2720</v>
      </c>
      <c r="F9" s="3">
        <f t="shared" si="1"/>
        <v>4080</v>
      </c>
      <c r="G9" s="3">
        <f t="shared" si="2"/>
        <v>-5920</v>
      </c>
    </row>
    <row r="10" spans="1:7" x14ac:dyDescent="0.25">
      <c r="A10" s="1" t="s">
        <v>14</v>
      </c>
      <c r="B10" s="3">
        <v>6500</v>
      </c>
      <c r="C10" s="3">
        <v>650</v>
      </c>
      <c r="D10" s="3">
        <f t="shared" si="0"/>
        <v>5525</v>
      </c>
      <c r="E10" s="3">
        <f t="shared" si="3"/>
        <v>2210</v>
      </c>
      <c r="F10" s="3">
        <f t="shared" si="1"/>
        <v>3315</v>
      </c>
      <c r="G10" s="3">
        <f t="shared" si="2"/>
        <v>-6685</v>
      </c>
    </row>
    <row r="11" spans="1:7" x14ac:dyDescent="0.25">
      <c r="A11" s="1" t="s">
        <v>15</v>
      </c>
      <c r="B11" s="3">
        <v>1500</v>
      </c>
      <c r="C11" s="3">
        <v>150</v>
      </c>
      <c r="D11" s="3">
        <f t="shared" si="0"/>
        <v>1275</v>
      </c>
      <c r="E11" s="3">
        <f t="shared" si="3"/>
        <v>510</v>
      </c>
      <c r="F11" s="3">
        <f t="shared" si="1"/>
        <v>765</v>
      </c>
      <c r="G11" s="3">
        <f t="shared" si="2"/>
        <v>-9235</v>
      </c>
    </row>
    <row r="12" spans="1:7" x14ac:dyDescent="0.25">
      <c r="A12" s="1" t="s">
        <v>16</v>
      </c>
      <c r="B12" s="3">
        <v>12000</v>
      </c>
      <c r="C12" s="3">
        <v>1200</v>
      </c>
      <c r="D12" s="3">
        <f t="shared" si="0"/>
        <v>10200</v>
      </c>
      <c r="E12" s="3">
        <f t="shared" si="3"/>
        <v>4080</v>
      </c>
      <c r="F12" s="3">
        <f t="shared" si="1"/>
        <v>6120</v>
      </c>
      <c r="G12" s="3">
        <f t="shared" si="2"/>
        <v>-3880</v>
      </c>
    </row>
    <row r="13" spans="1:7" x14ac:dyDescent="0.25">
      <c r="A13" s="1" t="s">
        <v>17</v>
      </c>
      <c r="B13" s="3">
        <v>25000</v>
      </c>
      <c r="C13" s="3">
        <v>2500</v>
      </c>
      <c r="D13" s="3">
        <f t="shared" si="0"/>
        <v>21250</v>
      </c>
      <c r="E13" s="3">
        <f t="shared" si="3"/>
        <v>8500</v>
      </c>
      <c r="F13" s="3">
        <f t="shared" si="1"/>
        <v>12750</v>
      </c>
      <c r="G13" s="3">
        <f t="shared" si="2"/>
        <v>2750</v>
      </c>
    </row>
    <row r="14" spans="1:7" x14ac:dyDescent="0.25">
      <c r="A14" s="1" t="s">
        <v>0</v>
      </c>
      <c r="B14" s="3">
        <f t="shared" ref="B14:G14" si="4">SUM(B2:B13)</f>
        <v>314500</v>
      </c>
      <c r="C14" s="3">
        <f t="shared" si="4"/>
        <v>31450</v>
      </c>
      <c r="D14" s="3">
        <f t="shared" si="4"/>
        <v>267325</v>
      </c>
      <c r="E14" s="3">
        <f t="shared" si="4"/>
        <v>106930</v>
      </c>
      <c r="F14" s="3">
        <f t="shared" si="4"/>
        <v>160395</v>
      </c>
      <c r="G14" s="3">
        <f t="shared" si="4"/>
        <v>40395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601C2-3F37-4B77-8311-E892BCE39B3F}">
  <dimension ref="A1:G14"/>
  <sheetViews>
    <sheetView workbookViewId="0">
      <selection activeCell="F18" sqref="F18"/>
    </sheetView>
  </sheetViews>
  <sheetFormatPr defaultRowHeight="13.2" x14ac:dyDescent="0.25"/>
  <cols>
    <col min="1" max="1" width="28.33203125" customWidth="1"/>
    <col min="2" max="2" width="16.33203125" style="7" customWidth="1"/>
    <col min="3" max="3" width="16.6640625" style="7" customWidth="1"/>
    <col min="4" max="4" width="17.88671875" style="7" customWidth="1"/>
    <col min="5" max="5" width="16.109375" style="7" customWidth="1"/>
    <col min="6" max="6" width="15.5546875" style="7" customWidth="1"/>
    <col min="7" max="7" width="20.77734375" style="7" customWidth="1"/>
  </cols>
  <sheetData>
    <row r="1" spans="1:7" x14ac:dyDescent="0.25">
      <c r="A1" s="2" t="s">
        <v>2</v>
      </c>
      <c r="B1" s="2" t="s">
        <v>3</v>
      </c>
      <c r="C1" s="2" t="s">
        <v>1</v>
      </c>
      <c r="D1" s="2" t="s">
        <v>18</v>
      </c>
      <c r="E1" s="2" t="s">
        <v>4</v>
      </c>
      <c r="F1" s="2" t="s">
        <v>5</v>
      </c>
      <c r="G1" s="2" t="s">
        <v>19</v>
      </c>
    </row>
    <row r="2" spans="1:7" x14ac:dyDescent="0.25">
      <c r="A2" s="1" t="s">
        <v>6</v>
      </c>
      <c r="B2" s="3">
        <v>50000</v>
      </c>
      <c r="C2" s="3">
        <v>5000</v>
      </c>
      <c r="D2" s="3">
        <f>C2*17*0.6</f>
        <v>51000</v>
      </c>
      <c r="E2" s="3">
        <f>D2*0.4</f>
        <v>20400</v>
      </c>
      <c r="F2" s="3">
        <f>D2*0.6</f>
        <v>30600</v>
      </c>
      <c r="G2" s="3">
        <f>F2 - (330000/12)</f>
        <v>3100</v>
      </c>
    </row>
    <row r="3" spans="1:7" x14ac:dyDescent="0.25">
      <c r="A3" s="1" t="s">
        <v>7</v>
      </c>
      <c r="B3" s="3">
        <v>100000</v>
      </c>
      <c r="C3" s="3">
        <v>10000</v>
      </c>
      <c r="D3" s="3">
        <f t="shared" ref="D3:D13" si="0">C3*17*0.6</f>
        <v>102000</v>
      </c>
      <c r="E3" s="3">
        <f t="shared" ref="E3:E13" si="1">D3*0.4</f>
        <v>40800</v>
      </c>
      <c r="F3" s="3">
        <f t="shared" ref="F3:F13" si="2">D3*0.6</f>
        <v>61200</v>
      </c>
      <c r="G3" s="3">
        <f t="shared" ref="G3:G13" si="3">F3 - (330000/12)</f>
        <v>33700</v>
      </c>
    </row>
    <row r="4" spans="1:7" x14ac:dyDescent="0.25">
      <c r="A4" s="1" t="s">
        <v>8</v>
      </c>
      <c r="B4" s="3">
        <v>75000</v>
      </c>
      <c r="C4" s="3">
        <v>7500</v>
      </c>
      <c r="D4" s="3">
        <f t="shared" si="0"/>
        <v>76500</v>
      </c>
      <c r="E4" s="3">
        <f t="shared" si="1"/>
        <v>30600</v>
      </c>
      <c r="F4" s="3">
        <f t="shared" si="2"/>
        <v>45900</v>
      </c>
      <c r="G4" s="3">
        <f t="shared" si="3"/>
        <v>18400</v>
      </c>
    </row>
    <row r="5" spans="1:7" x14ac:dyDescent="0.25">
      <c r="A5" s="1" t="s">
        <v>9</v>
      </c>
      <c r="B5" s="3">
        <v>20000</v>
      </c>
      <c r="C5" s="3">
        <v>2000</v>
      </c>
      <c r="D5" s="3">
        <f t="shared" si="0"/>
        <v>20400</v>
      </c>
      <c r="E5" s="3">
        <f t="shared" si="1"/>
        <v>8160</v>
      </c>
      <c r="F5" s="3">
        <f t="shared" si="2"/>
        <v>12240</v>
      </c>
      <c r="G5" s="3">
        <f t="shared" si="3"/>
        <v>-15260</v>
      </c>
    </row>
    <row r="6" spans="1:7" x14ac:dyDescent="0.25">
      <c r="A6" s="1" t="s">
        <v>10</v>
      </c>
      <c r="B6" s="3">
        <v>10000</v>
      </c>
      <c r="C6" s="3">
        <v>1000</v>
      </c>
      <c r="D6" s="3">
        <f t="shared" si="0"/>
        <v>10200</v>
      </c>
      <c r="E6" s="3">
        <f t="shared" si="1"/>
        <v>4080</v>
      </c>
      <c r="F6" s="3">
        <f t="shared" si="2"/>
        <v>6120</v>
      </c>
      <c r="G6" s="3">
        <f t="shared" si="3"/>
        <v>-21380</v>
      </c>
    </row>
    <row r="7" spans="1:7" x14ac:dyDescent="0.25">
      <c r="A7" s="1" t="s">
        <v>11</v>
      </c>
      <c r="B7" s="3">
        <v>5000</v>
      </c>
      <c r="C7" s="3">
        <v>500</v>
      </c>
      <c r="D7" s="3">
        <f t="shared" si="0"/>
        <v>5100</v>
      </c>
      <c r="E7" s="3">
        <f t="shared" si="1"/>
        <v>2040</v>
      </c>
      <c r="F7" s="3">
        <f t="shared" si="2"/>
        <v>3060</v>
      </c>
      <c r="G7" s="3">
        <f t="shared" si="3"/>
        <v>-24440</v>
      </c>
    </row>
    <row r="8" spans="1:7" x14ac:dyDescent="0.25">
      <c r="A8" s="1" t="s">
        <v>12</v>
      </c>
      <c r="B8" s="3">
        <v>1500</v>
      </c>
      <c r="C8" s="3">
        <v>150</v>
      </c>
      <c r="D8" s="3">
        <f t="shared" si="0"/>
        <v>1530</v>
      </c>
      <c r="E8" s="3">
        <f t="shared" si="1"/>
        <v>612</v>
      </c>
      <c r="F8" s="3">
        <f t="shared" si="2"/>
        <v>918</v>
      </c>
      <c r="G8" s="3">
        <f t="shared" si="3"/>
        <v>-26582</v>
      </c>
    </row>
    <row r="9" spans="1:7" x14ac:dyDescent="0.25">
      <c r="A9" s="1" t="s">
        <v>13</v>
      </c>
      <c r="B9" s="3">
        <v>8000</v>
      </c>
      <c r="C9" s="3">
        <v>800</v>
      </c>
      <c r="D9" s="3">
        <f t="shared" si="0"/>
        <v>8160</v>
      </c>
      <c r="E9" s="3">
        <f t="shared" si="1"/>
        <v>3264</v>
      </c>
      <c r="F9" s="3">
        <f t="shared" si="2"/>
        <v>4896</v>
      </c>
      <c r="G9" s="3">
        <f t="shared" si="3"/>
        <v>-22604</v>
      </c>
    </row>
    <row r="10" spans="1:7" x14ac:dyDescent="0.25">
      <c r="A10" s="1" t="s">
        <v>14</v>
      </c>
      <c r="B10" s="3">
        <v>6500</v>
      </c>
      <c r="C10" s="3">
        <v>650</v>
      </c>
      <c r="D10" s="3">
        <f t="shared" si="0"/>
        <v>6630</v>
      </c>
      <c r="E10" s="3">
        <f t="shared" si="1"/>
        <v>2652</v>
      </c>
      <c r="F10" s="3">
        <f t="shared" si="2"/>
        <v>3978</v>
      </c>
      <c r="G10" s="3">
        <f t="shared" si="3"/>
        <v>-23522</v>
      </c>
    </row>
    <row r="11" spans="1:7" x14ac:dyDescent="0.25">
      <c r="A11" s="1" t="s">
        <v>15</v>
      </c>
      <c r="B11" s="3">
        <v>1500</v>
      </c>
      <c r="C11" s="3">
        <v>150</v>
      </c>
      <c r="D11" s="3">
        <f t="shared" si="0"/>
        <v>1530</v>
      </c>
      <c r="E11" s="3">
        <f t="shared" si="1"/>
        <v>612</v>
      </c>
      <c r="F11" s="3">
        <f t="shared" si="2"/>
        <v>918</v>
      </c>
      <c r="G11" s="3">
        <f t="shared" si="3"/>
        <v>-26582</v>
      </c>
    </row>
    <row r="12" spans="1:7" x14ac:dyDescent="0.25">
      <c r="A12" s="1" t="s">
        <v>16</v>
      </c>
      <c r="B12" s="3">
        <v>12000</v>
      </c>
      <c r="C12" s="3">
        <v>1200</v>
      </c>
      <c r="D12" s="3">
        <f t="shared" si="0"/>
        <v>12240</v>
      </c>
      <c r="E12" s="3">
        <f t="shared" si="1"/>
        <v>4896</v>
      </c>
      <c r="F12" s="3">
        <f t="shared" si="2"/>
        <v>7344</v>
      </c>
      <c r="G12" s="3">
        <f t="shared" si="3"/>
        <v>-20156</v>
      </c>
    </row>
    <row r="13" spans="1:7" x14ac:dyDescent="0.25">
      <c r="A13" s="1" t="s">
        <v>17</v>
      </c>
      <c r="B13" s="3">
        <v>25000</v>
      </c>
      <c r="C13" s="3">
        <v>2500</v>
      </c>
      <c r="D13" s="3">
        <f t="shared" si="0"/>
        <v>25500</v>
      </c>
      <c r="E13" s="3">
        <f t="shared" si="1"/>
        <v>10200</v>
      </c>
      <c r="F13" s="3">
        <f t="shared" si="2"/>
        <v>15300</v>
      </c>
      <c r="G13" s="3">
        <f t="shared" si="3"/>
        <v>-12200</v>
      </c>
    </row>
    <row r="14" spans="1:7" x14ac:dyDescent="0.25">
      <c r="A14" s="1" t="s">
        <v>0</v>
      </c>
      <c r="B14" s="3">
        <f t="shared" ref="B14:G14" si="4">SUM(B2:B13)</f>
        <v>314500</v>
      </c>
      <c r="C14" s="3">
        <f t="shared" si="4"/>
        <v>31450</v>
      </c>
      <c r="D14" s="3">
        <f t="shared" si="4"/>
        <v>320790</v>
      </c>
      <c r="E14" s="3">
        <f t="shared" si="4"/>
        <v>128316</v>
      </c>
      <c r="F14" s="3">
        <f t="shared" si="4"/>
        <v>192474</v>
      </c>
      <c r="G14" s="3">
        <f t="shared" si="4"/>
        <v>-137526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2647-D36D-4F65-A00F-9F2AFCA211A5}">
  <dimension ref="A1:G14"/>
  <sheetViews>
    <sheetView workbookViewId="0">
      <selection activeCell="F13" sqref="F13"/>
    </sheetView>
  </sheetViews>
  <sheetFormatPr defaultRowHeight="13.2" x14ac:dyDescent="0.25"/>
  <cols>
    <col min="1" max="1" width="29.33203125" customWidth="1"/>
    <col min="2" max="2" width="20.77734375" style="7" customWidth="1"/>
    <col min="3" max="3" width="13.33203125" style="7" customWidth="1"/>
    <col min="4" max="4" width="18.109375" style="7" customWidth="1"/>
    <col min="5" max="5" width="17.21875" style="7" customWidth="1"/>
    <col min="6" max="6" width="16.77734375" style="7" customWidth="1"/>
    <col min="7" max="7" width="16.109375" style="7" customWidth="1"/>
  </cols>
  <sheetData>
    <row r="1" spans="1:7" x14ac:dyDescent="0.25">
      <c r="A1" s="2" t="s">
        <v>2</v>
      </c>
      <c r="B1" s="2" t="s">
        <v>3</v>
      </c>
      <c r="C1" s="2" t="s">
        <v>1</v>
      </c>
      <c r="D1" s="2" t="s">
        <v>18</v>
      </c>
      <c r="E1" s="2" t="s">
        <v>4</v>
      </c>
      <c r="F1" s="2" t="s">
        <v>5</v>
      </c>
      <c r="G1" s="2" t="s">
        <v>19</v>
      </c>
    </row>
    <row r="2" spans="1:7" x14ac:dyDescent="0.25">
      <c r="A2" s="1" t="s">
        <v>6</v>
      </c>
      <c r="B2" s="3">
        <v>50000</v>
      </c>
      <c r="C2" s="3">
        <v>5000</v>
      </c>
      <c r="D2" s="3">
        <f>C2*17*0.5</f>
        <v>42500</v>
      </c>
      <c r="E2" s="3">
        <f>D2*0.4</f>
        <v>17000</v>
      </c>
      <c r="F2" s="3">
        <f>D2*0.6</f>
        <v>25500</v>
      </c>
      <c r="G2" s="3">
        <f>F2 - (65000/12)</f>
        <v>20083.333333333332</v>
      </c>
    </row>
    <row r="3" spans="1:7" x14ac:dyDescent="0.25">
      <c r="A3" s="1" t="s">
        <v>7</v>
      </c>
      <c r="B3" s="3">
        <v>100000</v>
      </c>
      <c r="C3" s="3">
        <v>10000</v>
      </c>
      <c r="D3" s="3">
        <f t="shared" ref="D3:D13" si="0">C3*17*0.5</f>
        <v>85000</v>
      </c>
      <c r="E3" s="3">
        <f t="shared" ref="E3:E13" si="1">D3*0.4</f>
        <v>34000</v>
      </c>
      <c r="F3" s="3">
        <f t="shared" ref="F3:F13" si="2">D3*0.6</f>
        <v>51000</v>
      </c>
      <c r="G3" s="3">
        <f t="shared" ref="G3:G13" si="3">F3 - (65000/12)</f>
        <v>45583.333333333336</v>
      </c>
    </row>
    <row r="4" spans="1:7" x14ac:dyDescent="0.25">
      <c r="A4" s="1" t="s">
        <v>8</v>
      </c>
      <c r="B4" s="3">
        <v>75000</v>
      </c>
      <c r="C4" s="3">
        <v>7500</v>
      </c>
      <c r="D4" s="3">
        <f t="shared" si="0"/>
        <v>63750</v>
      </c>
      <c r="E4" s="3">
        <f t="shared" si="1"/>
        <v>25500</v>
      </c>
      <c r="F4" s="3">
        <f t="shared" si="2"/>
        <v>38250</v>
      </c>
      <c r="G4" s="3">
        <f t="shared" si="3"/>
        <v>32833.333333333336</v>
      </c>
    </row>
    <row r="5" spans="1:7" x14ac:dyDescent="0.25">
      <c r="A5" s="1" t="s">
        <v>9</v>
      </c>
      <c r="B5" s="3">
        <v>20000</v>
      </c>
      <c r="C5" s="3">
        <v>2000</v>
      </c>
      <c r="D5" s="3">
        <f t="shared" si="0"/>
        <v>17000</v>
      </c>
      <c r="E5" s="3">
        <f t="shared" si="1"/>
        <v>6800</v>
      </c>
      <c r="F5" s="3">
        <f t="shared" si="2"/>
        <v>10200</v>
      </c>
      <c r="G5" s="3">
        <f t="shared" si="3"/>
        <v>4783.333333333333</v>
      </c>
    </row>
    <row r="6" spans="1:7" x14ac:dyDescent="0.25">
      <c r="A6" s="1" t="s">
        <v>10</v>
      </c>
      <c r="B6" s="3">
        <v>10000</v>
      </c>
      <c r="C6" s="3">
        <v>1000</v>
      </c>
      <c r="D6" s="3">
        <f t="shared" si="0"/>
        <v>8500</v>
      </c>
      <c r="E6" s="3">
        <f t="shared" si="1"/>
        <v>3400</v>
      </c>
      <c r="F6" s="3">
        <f t="shared" si="2"/>
        <v>5100</v>
      </c>
      <c r="G6" s="3">
        <f t="shared" si="3"/>
        <v>-316.66666666666697</v>
      </c>
    </row>
    <row r="7" spans="1:7" x14ac:dyDescent="0.25">
      <c r="A7" s="1" t="s">
        <v>11</v>
      </c>
      <c r="B7" s="3">
        <v>5000</v>
      </c>
      <c r="C7" s="3">
        <v>500</v>
      </c>
      <c r="D7" s="3">
        <f t="shared" si="0"/>
        <v>4250</v>
      </c>
      <c r="E7" s="3">
        <f t="shared" si="1"/>
        <v>1700</v>
      </c>
      <c r="F7" s="3">
        <f t="shared" si="2"/>
        <v>2550</v>
      </c>
      <c r="G7" s="3">
        <f t="shared" si="3"/>
        <v>-2866.666666666667</v>
      </c>
    </row>
    <row r="8" spans="1:7" x14ac:dyDescent="0.25">
      <c r="A8" s="1" t="s">
        <v>12</v>
      </c>
      <c r="B8" s="3">
        <v>1500</v>
      </c>
      <c r="C8" s="3">
        <v>150</v>
      </c>
      <c r="D8" s="3">
        <f t="shared" si="0"/>
        <v>1275</v>
      </c>
      <c r="E8" s="3">
        <f t="shared" si="1"/>
        <v>510</v>
      </c>
      <c r="F8" s="3">
        <f t="shared" si="2"/>
        <v>765</v>
      </c>
      <c r="G8" s="3">
        <f t="shared" si="3"/>
        <v>-4651.666666666667</v>
      </c>
    </row>
    <row r="9" spans="1:7" x14ac:dyDescent="0.25">
      <c r="A9" s="1" t="s">
        <v>13</v>
      </c>
      <c r="B9" s="3">
        <v>8000</v>
      </c>
      <c r="C9" s="3">
        <v>800</v>
      </c>
      <c r="D9" s="3">
        <f t="shared" si="0"/>
        <v>6800</v>
      </c>
      <c r="E9" s="3">
        <f t="shared" si="1"/>
        <v>2720</v>
      </c>
      <c r="F9" s="3">
        <f t="shared" si="2"/>
        <v>4080</v>
      </c>
      <c r="G9" s="3">
        <f t="shared" si="3"/>
        <v>-1336.666666666667</v>
      </c>
    </row>
    <row r="10" spans="1:7" x14ac:dyDescent="0.25">
      <c r="A10" s="1" t="s">
        <v>14</v>
      </c>
      <c r="B10" s="3">
        <v>6500</v>
      </c>
      <c r="C10" s="3">
        <v>650</v>
      </c>
      <c r="D10" s="3">
        <f t="shared" si="0"/>
        <v>5525</v>
      </c>
      <c r="E10" s="3">
        <f t="shared" si="1"/>
        <v>2210</v>
      </c>
      <c r="F10" s="3">
        <f t="shared" si="2"/>
        <v>3315</v>
      </c>
      <c r="G10" s="3">
        <f t="shared" si="3"/>
        <v>-2101.666666666667</v>
      </c>
    </row>
    <row r="11" spans="1:7" x14ac:dyDescent="0.25">
      <c r="A11" s="1" t="s">
        <v>15</v>
      </c>
      <c r="B11" s="3">
        <v>1500</v>
      </c>
      <c r="C11" s="3">
        <v>150</v>
      </c>
      <c r="D11" s="3">
        <f t="shared" si="0"/>
        <v>1275</v>
      </c>
      <c r="E11" s="3">
        <f t="shared" si="1"/>
        <v>510</v>
      </c>
      <c r="F11" s="3">
        <f t="shared" si="2"/>
        <v>765</v>
      </c>
      <c r="G11" s="3">
        <f t="shared" si="3"/>
        <v>-4651.666666666667</v>
      </c>
    </row>
    <row r="12" spans="1:7" x14ac:dyDescent="0.25">
      <c r="A12" s="1" t="s">
        <v>16</v>
      </c>
      <c r="B12" s="3">
        <v>12000</v>
      </c>
      <c r="C12" s="3">
        <v>1200</v>
      </c>
      <c r="D12" s="3">
        <f t="shared" si="0"/>
        <v>10200</v>
      </c>
      <c r="E12" s="3">
        <f t="shared" si="1"/>
        <v>4080</v>
      </c>
      <c r="F12" s="3">
        <f t="shared" si="2"/>
        <v>6120</v>
      </c>
      <c r="G12" s="3">
        <f t="shared" si="3"/>
        <v>703.33333333333303</v>
      </c>
    </row>
    <row r="13" spans="1:7" x14ac:dyDescent="0.25">
      <c r="A13" s="1" t="s">
        <v>17</v>
      </c>
      <c r="B13" s="3">
        <v>25000</v>
      </c>
      <c r="C13" s="3">
        <v>2500</v>
      </c>
      <c r="D13" s="3">
        <f t="shared" si="0"/>
        <v>21250</v>
      </c>
      <c r="E13" s="3">
        <f t="shared" si="1"/>
        <v>8500</v>
      </c>
      <c r="F13" s="3">
        <f t="shared" si="2"/>
        <v>12750</v>
      </c>
      <c r="G13" s="3">
        <f t="shared" si="3"/>
        <v>7333.333333333333</v>
      </c>
    </row>
    <row r="14" spans="1:7" x14ac:dyDescent="0.25">
      <c r="A14" s="1" t="s">
        <v>0</v>
      </c>
      <c r="B14" s="3">
        <f t="shared" ref="B14:G14" si="4">SUM(B2:B13)</f>
        <v>314500</v>
      </c>
      <c r="C14" s="3">
        <f t="shared" si="4"/>
        <v>31450</v>
      </c>
      <c r="D14" s="3">
        <f t="shared" si="4"/>
        <v>267325</v>
      </c>
      <c r="E14" s="3">
        <f t="shared" si="4"/>
        <v>106930</v>
      </c>
      <c r="F14" s="3">
        <f t="shared" si="4"/>
        <v>160395</v>
      </c>
      <c r="G14" s="3">
        <f t="shared" si="4"/>
        <v>95394.999999999956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 1</vt:lpstr>
      <vt:lpstr>SCENARIO 2</vt:lpstr>
      <vt:lpstr>SCENARIO 3</vt:lpstr>
      <vt:lpstr>IDEAL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Aqies Yunus</cp:lastModifiedBy>
  <dcterms:modified xsi:type="dcterms:W3CDTF">2026-05-18T15:42:41Z</dcterms:modified>
</cp:coreProperties>
</file>